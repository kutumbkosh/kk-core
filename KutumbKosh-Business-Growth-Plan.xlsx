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Growth Mode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cenario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₹#,##0"/>
    <numFmt numFmtId="165" formatCode="0.0%"/>
    <numFmt numFmtId="166" formatCode="\₹#,##0;&quot;(₹&quot;#,##0\);\-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1F4E79"/>
      <sz val="12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888888"/>
      <sz val="10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CC0000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EC"/>
        <bgColor rgb="FF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3" fontId="12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164" fontId="12" fillId="5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12" fillId="6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6" fontId="12" fillId="4" borderId="1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3" fontId="12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164" fontId="12" fillId="5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12" fillId="6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6" fontId="12" fillId="4" borderId="1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CE4E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5" customWidth="1" style="43" min="1" max="1"/>
    <col width="18" customWidth="1" style="43" min="2" max="2"/>
    <col width="40" customWidth="1" style="43" min="3" max="3"/>
  </cols>
  <sheetData>
    <row r="1" ht="17.25" customHeight="1" s="44">
      <c r="A1" s="45" t="inlineStr">
        <is>
          <t>KutumbKosh — Business Growth Plan v2</t>
        </is>
      </c>
    </row>
    <row r="2" ht="15" customHeight="1" s="44">
      <c r="A2" s="46" t="inlineStr">
        <is>
          <t>Updated: ₹499/yr pricing + B2B channel + Marketing</t>
        </is>
      </c>
    </row>
    <row r="3"/>
    <row r="4" ht="15" customHeight="1" s="44">
      <c r="A4" s="47" t="inlineStr">
        <is>
          <t>PRICING</t>
        </is>
      </c>
    </row>
    <row r="5" ht="15" customHeight="1" s="44">
      <c r="A5" s="48" t="inlineStr">
        <is>
          <t>Annual price (Pro)</t>
        </is>
      </c>
      <c r="B5" s="49" t="n">
        <v>499</v>
      </c>
      <c r="C5" s="50" t="inlineStr">
        <is>
          <t>₹499/year</t>
        </is>
      </c>
    </row>
    <row r="6" ht="15" customHeight="1" s="44">
      <c r="A6" s="48" t="inlineStr">
        <is>
          <t>Monthly price (Pro)</t>
        </is>
      </c>
      <c r="B6" s="49" t="n">
        <v>79</v>
      </c>
      <c r="C6" s="50" t="inlineStr">
        <is>
          <t>₹79/month</t>
        </is>
      </c>
    </row>
    <row r="7" ht="15" customHeight="1" s="44">
      <c r="A7" s="48" t="inlineStr">
        <is>
          <t>Effective monthly (annual)</t>
        </is>
      </c>
      <c r="B7" s="51">
        <f>B5/12</f>
        <v/>
      </c>
      <c r="C7" s="50" t="n"/>
    </row>
    <row r="8" ht="15" customHeight="1" s="44">
      <c r="A8" s="48" t="inlineStr">
        <is>
          <t>B2B per-seat annual price</t>
        </is>
      </c>
      <c r="B8" s="49" t="n">
        <v>399</v>
      </c>
      <c r="C8" s="50" t="inlineStr">
        <is>
          <t>Discounted bulk rate for CA/advisor referrals</t>
        </is>
      </c>
    </row>
    <row r="9"/>
    <row r="10" ht="15" customHeight="1" s="44">
      <c r="A10" s="47" t="inlineStr">
        <is>
          <t>USER GROWTH</t>
        </is>
      </c>
    </row>
    <row r="11" ht="15" customHeight="1" s="44">
      <c r="A11" s="48" t="inlineStr">
        <is>
          <t>Launch signups (M1)</t>
        </is>
      </c>
      <c r="B11" s="52" t="n">
        <v>400</v>
      </c>
      <c r="C11" s="50" t="inlineStr">
        <is>
          <t>Pre-launch waitlist + social</t>
        </is>
      </c>
    </row>
    <row r="12" ht="15" customHeight="1" s="44">
      <c r="A12" s="48" t="inlineStr">
        <is>
          <t>Organic monthly growth rate</t>
        </is>
      </c>
      <c r="B12" s="53" t="n">
        <v>0.2</v>
      </c>
      <c r="C12" s="50" t="inlineStr">
        <is>
          <t>20% MoM from SEO, referrals, content</t>
        </is>
      </c>
    </row>
    <row r="13" ht="15" customHeight="1" s="44">
      <c r="A13" s="48" t="inlineStr">
        <is>
          <t>Monthly churn rate</t>
        </is>
      </c>
      <c r="B13" s="53" t="n">
        <v>0.03</v>
      </c>
      <c r="C13" s="50" t="inlineStr">
        <is>
          <t>3% monthly churn</t>
        </is>
      </c>
    </row>
    <row r="14" ht="15" customHeight="1" s="44">
      <c r="A14" s="48" t="inlineStr">
        <is>
          <t>B2B onboarding start month</t>
        </is>
      </c>
      <c r="B14" s="52" t="n">
        <v>4</v>
      </c>
      <c r="C14" s="50" t="inlineStr">
        <is>
          <t>CA/advisor channel kicks in at M4</t>
        </is>
      </c>
    </row>
    <row r="15" ht="15" customHeight="1" s="44">
      <c r="A15" s="48" t="inlineStr">
        <is>
          <t>B2B monthly new users (initial)</t>
        </is>
      </c>
      <c r="B15" s="52" t="n">
        <v>100</v>
      </c>
      <c r="C15" s="50" t="inlineStr">
        <is>
          <t>~2-3 CAs onboarding clients</t>
        </is>
      </c>
    </row>
    <row r="16" ht="15" customHeight="1" s="44">
      <c r="A16" s="48" t="inlineStr">
        <is>
          <t>B2B user growth rate</t>
        </is>
      </c>
      <c r="B16" s="53" t="n">
        <v>0.15</v>
      </c>
      <c r="C16" s="50" t="inlineStr">
        <is>
          <t>15% MoM growth in B2B channel</t>
        </is>
      </c>
    </row>
    <row r="17"/>
    <row r="18" ht="15" customHeight="1" s="44">
      <c r="A18" s="47" t="inlineStr">
        <is>
          <t>CONVERSION</t>
        </is>
      </c>
    </row>
    <row r="19" ht="15" customHeight="1" s="44">
      <c r="A19" s="48" t="inlineStr">
        <is>
          <t>Initial D2C conversion rate</t>
        </is>
      </c>
      <c r="B19" s="53" t="n">
        <v>0.03</v>
      </c>
      <c r="C19" s="50" t="inlineStr">
        <is>
          <t>3% of organic users convert to Pro</t>
        </is>
      </c>
    </row>
    <row r="20" ht="15" customHeight="1" s="44">
      <c r="A20" s="48" t="inlineStr">
        <is>
          <t>Monthly conversion uplift</t>
        </is>
      </c>
      <c r="B20" s="53" t="n">
        <v>0.002</v>
      </c>
      <c r="C20" s="50" t="inlineStr">
        <is>
          <t>+0.2% per month as trust builds</t>
        </is>
      </c>
    </row>
    <row r="21" ht="15" customHeight="1" s="44">
      <c r="A21" s="48" t="inlineStr">
        <is>
          <t>Max D2C conversion rate</t>
        </is>
      </c>
      <c r="B21" s="53" t="n">
        <v>0.1</v>
      </c>
      <c r="C21" s="50" t="inlineStr">
        <is>
          <t>Cap at 10%</t>
        </is>
      </c>
    </row>
    <row r="22" ht="15" customHeight="1" s="44">
      <c r="A22" s="48" t="inlineStr">
        <is>
          <t>B2B conversion rate</t>
        </is>
      </c>
      <c r="B22" s="53" t="n">
        <v>0.25</v>
      </c>
      <c r="C22" s="50" t="inlineStr">
        <is>
          <t>25% — CA-referred users convert much higher</t>
        </is>
      </c>
    </row>
    <row r="23" ht="15" customHeight="1" s="44">
      <c r="A23" s="48" t="inlineStr">
        <is>
          <t>Monetization start month</t>
        </is>
      </c>
      <c r="B23" s="52" t="n">
        <v>3</v>
      </c>
      <c r="C23" s="50" t="inlineStr">
        <is>
          <t>Payments go live at M3</t>
        </is>
      </c>
    </row>
    <row r="24"/>
    <row r="25" ht="15" customHeight="1" s="44">
      <c r="A25" s="47" t="inlineStr">
        <is>
          <t>PAYMENT GATEWAY</t>
        </is>
      </c>
    </row>
    <row r="26" ht="15" customHeight="1" s="44">
      <c r="A26" s="48" t="inlineStr">
        <is>
          <t>Razorpay base fee</t>
        </is>
      </c>
      <c r="B26" s="53" t="n">
        <v>0.02</v>
      </c>
      <c r="C26" s="50" t="inlineStr">
        <is>
          <t>2% per transaction</t>
        </is>
      </c>
    </row>
    <row r="27" ht="15" customHeight="1" s="44">
      <c r="A27" s="48" t="inlineStr">
        <is>
          <t>Razorpay subscription add-on</t>
        </is>
      </c>
      <c r="B27" s="53" t="n">
        <v>0.01</v>
      </c>
      <c r="C27" s="50" t="inlineStr">
        <is>
          <t>1% for recurring</t>
        </is>
      </c>
    </row>
    <row r="28" ht="15" customHeight="1" s="44">
      <c r="A28" s="48" t="inlineStr">
        <is>
          <t>GST on gateway fees</t>
        </is>
      </c>
      <c r="B28" s="53" t="n">
        <v>0.18</v>
      </c>
      <c r="C28" s="50" t="inlineStr">
        <is>
          <t>18% GST</t>
        </is>
      </c>
    </row>
    <row r="29" ht="15" customHeight="1" s="44">
      <c r="A29" s="48" t="inlineStr">
        <is>
          <t>UPI payment share</t>
        </is>
      </c>
      <c r="B29" s="53" t="n">
        <v>0.6</v>
      </c>
      <c r="C29" s="50" t="inlineStr">
        <is>
          <t>60% pay via UPI (lower effective fee)</t>
        </is>
      </c>
    </row>
    <row r="30" ht="15" customHeight="1" s="44">
      <c r="A30" s="48" t="inlineStr">
        <is>
          <t>Blended gateway cost</t>
        </is>
      </c>
      <c r="B30" s="54">
        <f>(1-B29)*(B26+B27)*(1+B28)</f>
        <v/>
      </c>
      <c r="C30" s="50" t="inlineStr">
        <is>
          <t>Effective rate after UPI discount</t>
        </is>
      </c>
    </row>
    <row r="31"/>
    <row r="32" ht="15" customHeight="1" s="44">
      <c r="A32" s="47" t="inlineStr">
        <is>
          <t>INFRASTRUCTURE (Monthly)</t>
        </is>
      </c>
    </row>
    <row r="33" ht="15" customHeight="1" s="44">
      <c r="A33" s="48" t="inlineStr">
        <is>
          <t>Supabase Pro</t>
        </is>
      </c>
      <c r="B33" s="49" t="n">
        <v>2100</v>
      </c>
      <c r="C33" s="50" t="inlineStr">
        <is>
          <t>~$25/mo</t>
        </is>
      </c>
    </row>
    <row r="34" ht="15" customHeight="1" s="44">
      <c r="A34" s="48" t="inlineStr">
        <is>
          <t>Vercel Pro</t>
        </is>
      </c>
      <c r="B34" s="49" t="n">
        <v>1700</v>
      </c>
      <c r="C34" s="50" t="inlineStr">
        <is>
          <t>~$20/mo</t>
        </is>
      </c>
    </row>
    <row r="35" ht="15" customHeight="1" s="44">
      <c r="A35" s="48" t="inlineStr">
        <is>
          <t>Resend email</t>
        </is>
      </c>
      <c r="B35" s="49" t="n">
        <v>0</v>
      </c>
      <c r="C35" s="50" t="inlineStr">
        <is>
          <t>Free tier (3K emails/mo)</t>
        </is>
      </c>
    </row>
    <row r="36" ht="15" customHeight="1" s="44">
      <c r="A36" s="48" t="inlineStr">
        <is>
          <t>Domain + DNS</t>
        </is>
      </c>
      <c r="B36" s="49" t="n">
        <v>100</v>
      </c>
      <c r="C36" s="50" t="inlineStr">
        <is>
          <t>~₹1200/year ÷ 12</t>
        </is>
      </c>
    </row>
    <row r="37" ht="15" customHeight="1" s="44">
      <c r="A37" s="48" t="inlineStr">
        <is>
          <t>Google Workspace</t>
        </is>
      </c>
      <c r="B37" s="49" t="n">
        <v>250</v>
      </c>
      <c r="C37" s="50" t="inlineStr">
        <is>
          <t>1 user</t>
        </is>
      </c>
    </row>
    <row r="38" ht="15" customHeight="1" s="44">
      <c r="A38" s="48" t="inlineStr">
        <is>
          <t>Misc (monitoring, backups)</t>
        </is>
      </c>
      <c r="B38" s="49" t="n">
        <v>500</v>
      </c>
      <c r="C38" s="50" t="inlineStr">
        <is>
          <t>Error tracking, backups</t>
        </is>
      </c>
    </row>
    <row r="39" ht="15" customHeight="1" s="44">
      <c r="A39" s="48" t="inlineStr">
        <is>
          <t>Total infra</t>
        </is>
      </c>
      <c r="B39" s="51">
        <f>SUM(B33:B38)</f>
        <v/>
      </c>
      <c r="C39" s="50" t="n"/>
    </row>
    <row r="40"/>
    <row r="41" ht="15" customHeight="1" s="44">
      <c r="A41" s="47" t="inlineStr">
        <is>
          <t>MARKETING (starts M3)</t>
        </is>
      </c>
    </row>
    <row r="42" ht="15" customHeight="1" s="44">
      <c r="A42" s="48" t="inlineStr">
        <is>
          <t>Marketing start month</t>
        </is>
      </c>
      <c r="B42" s="55" t="n">
        <v>3</v>
      </c>
      <c r="C42" s="50" t="inlineStr">
        <is>
          <t>Start spending post M3</t>
        </is>
      </c>
    </row>
    <row r="43" ht="15" customHeight="1" s="44">
      <c r="A43" s="48" t="inlineStr">
        <is>
          <t>Initial monthly budget</t>
        </is>
      </c>
      <c r="B43" s="49" t="n">
        <v>5000</v>
      </c>
      <c r="C43" s="50" t="inlineStr">
        <is>
          <t>Google Ads, social media</t>
        </is>
      </c>
    </row>
    <row r="44" ht="15" customHeight="1" s="44">
      <c r="A44" s="48" t="inlineStr">
        <is>
          <t>Monthly budget increase</t>
        </is>
      </c>
      <c r="B44" s="49" t="n">
        <v>2000</v>
      </c>
      <c r="C44" s="50" t="inlineStr">
        <is>
          <t>Increase ₹2K/month as revenue grows</t>
        </is>
      </c>
    </row>
    <row r="45" ht="15" customHeight="1" s="44">
      <c r="A45" s="48" t="inlineStr">
        <is>
          <t>Max monthly budget</t>
        </is>
      </c>
      <c r="B45" s="49" t="n">
        <v>25000</v>
      </c>
      <c r="C45" s="50" t="inlineStr">
        <is>
          <t>Cap monthly marketing spend</t>
        </is>
      </c>
    </row>
    <row r="46" ht="15" customHeight="1" s="44">
      <c r="A46" s="48" t="inlineStr">
        <is>
          <t>B2B partnership costs</t>
        </is>
      </c>
      <c r="B46" s="49" t="n">
        <v>2000</v>
      </c>
      <c r="C46" s="50" t="inlineStr">
        <is>
          <t>Commission/incentives for CA referrals</t>
        </is>
      </c>
    </row>
    <row r="47" ht="15" customHeight="1" s="44">
      <c r="A47" s="48" t="inlineStr">
        <is>
          <t>Content creation</t>
        </is>
      </c>
      <c r="B47" s="49" t="n">
        <v>3000</v>
      </c>
      <c r="C47" s="50" t="inlineStr">
        <is>
          <t>Blog, SEO, social content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43" min="1" max="1"/>
    <col width="14" customWidth="1" style="43" min="2" max="19"/>
  </cols>
  <sheetData>
    <row r="1" ht="17.25" customHeight="1" s="44">
      <c r="A1" s="45" t="inlineStr">
        <is>
          <t>KutumbKosh — 18-Month Growth Model (v2)</t>
        </is>
      </c>
    </row>
    <row r="2"/>
    <row r="3" ht="15" customHeight="1" s="44">
      <c r="A3" s="56" t="inlineStr">
        <is>
          <t>Month</t>
        </is>
      </c>
      <c r="B3" s="56" t="inlineStr">
        <is>
          <t>M1</t>
        </is>
      </c>
      <c r="C3" s="56" t="inlineStr">
        <is>
          <t>M2</t>
        </is>
      </c>
      <c r="D3" s="56" t="inlineStr">
        <is>
          <t>M3</t>
        </is>
      </c>
      <c r="E3" s="56" t="inlineStr">
        <is>
          <t>M4</t>
        </is>
      </c>
      <c r="F3" s="56" t="inlineStr">
        <is>
          <t>M5</t>
        </is>
      </c>
      <c r="G3" s="56" t="inlineStr">
        <is>
          <t>M6</t>
        </is>
      </c>
      <c r="H3" s="56" t="inlineStr">
        <is>
          <t>M7</t>
        </is>
      </c>
      <c r="I3" s="56" t="inlineStr">
        <is>
          <t>M8</t>
        </is>
      </c>
      <c r="J3" s="56" t="inlineStr">
        <is>
          <t>M9</t>
        </is>
      </c>
      <c r="K3" s="56" t="inlineStr">
        <is>
          <t>M10</t>
        </is>
      </c>
      <c r="L3" s="56" t="inlineStr">
        <is>
          <t>M11</t>
        </is>
      </c>
      <c r="M3" s="56" t="inlineStr">
        <is>
          <t>M12</t>
        </is>
      </c>
      <c r="N3" s="56" t="inlineStr">
        <is>
          <t>M13</t>
        </is>
      </c>
      <c r="O3" s="56" t="inlineStr">
        <is>
          <t>M14</t>
        </is>
      </c>
      <c r="P3" s="56" t="inlineStr">
        <is>
          <t>M15</t>
        </is>
      </c>
      <c r="Q3" s="56" t="inlineStr">
        <is>
          <t>M16</t>
        </is>
      </c>
      <c r="R3" s="56" t="inlineStr">
        <is>
          <t>M17</t>
        </is>
      </c>
      <c r="S3" s="56" t="inlineStr">
        <is>
          <t>M18</t>
        </is>
      </c>
    </row>
    <row r="4" ht="15" customHeight="1" s="44">
      <c r="A4" s="57" t="inlineStr">
        <is>
          <t>USER METRICS</t>
        </is>
      </c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</row>
    <row r="5" ht="15" customHeight="1" s="44">
      <c r="A5" s="59" t="inlineStr">
        <is>
          <t>New organic signups</t>
        </is>
      </c>
      <c r="B5" s="60">
        <f>Assumptions!B11</f>
        <v/>
      </c>
      <c r="C5" s="60">
        <f>ROUND(B5*(1+Assumptions!B12),0)</f>
        <v/>
      </c>
      <c r="D5" s="60">
        <f>ROUND(C5*(1+Assumptions!B12),0)</f>
        <v/>
      </c>
      <c r="E5" s="60">
        <f>ROUND(D5*(1+Assumptions!B12),0)</f>
        <v/>
      </c>
      <c r="F5" s="60">
        <f>ROUND(E5*(1+Assumptions!B12),0)</f>
        <v/>
      </c>
      <c r="G5" s="60">
        <f>ROUND(F5*(1+Assumptions!B12),0)</f>
        <v/>
      </c>
      <c r="H5" s="60">
        <f>ROUND(G5*(1+Assumptions!B12),0)</f>
        <v/>
      </c>
      <c r="I5" s="60">
        <f>ROUND(H5*(1+Assumptions!B12),0)</f>
        <v/>
      </c>
      <c r="J5" s="60">
        <f>ROUND(I5*(1+Assumptions!B12),0)</f>
        <v/>
      </c>
      <c r="K5" s="60">
        <f>ROUND(J5*(1+Assumptions!B12),0)</f>
        <v/>
      </c>
      <c r="L5" s="60">
        <f>ROUND(K5*(1+Assumptions!B12),0)</f>
        <v/>
      </c>
      <c r="M5" s="60">
        <f>ROUND(L5*(1+Assumptions!B12),0)</f>
        <v/>
      </c>
      <c r="N5" s="60">
        <f>ROUND(M5*(1+Assumptions!B12),0)</f>
        <v/>
      </c>
      <c r="O5" s="60">
        <f>ROUND(N5*(1+Assumptions!B12),0)</f>
        <v/>
      </c>
      <c r="P5" s="60">
        <f>ROUND(O5*(1+Assumptions!B12),0)</f>
        <v/>
      </c>
      <c r="Q5" s="60">
        <f>ROUND(P5*(1+Assumptions!B12),0)</f>
        <v/>
      </c>
      <c r="R5" s="60">
        <f>ROUND(Q5*(1+Assumptions!B12),0)</f>
        <v/>
      </c>
      <c r="S5" s="60">
        <f>ROUND(R5*(1+Assumptions!B12),0)</f>
        <v/>
      </c>
    </row>
    <row r="6" ht="15" customHeight="1" s="44">
      <c r="A6" s="59" t="inlineStr">
        <is>
          <t>New B2B signups</t>
        </is>
      </c>
      <c r="B6" s="60" t="n">
        <v>0</v>
      </c>
      <c r="C6" s="60" t="n">
        <v>0</v>
      </c>
      <c r="D6" s="60" t="n">
        <v>0</v>
      </c>
      <c r="E6" s="60">
        <f>Assumptions!B15</f>
        <v/>
      </c>
      <c r="F6" s="60">
        <f>ROUND(E6*(1+Assumptions!B16),0)</f>
        <v/>
      </c>
      <c r="G6" s="60">
        <f>ROUND(F6*(1+Assumptions!B16),0)</f>
        <v/>
      </c>
      <c r="H6" s="60">
        <f>ROUND(G6*(1+Assumptions!B16),0)</f>
        <v/>
      </c>
      <c r="I6" s="60">
        <f>ROUND(H6*(1+Assumptions!B16),0)</f>
        <v/>
      </c>
      <c r="J6" s="60">
        <f>ROUND(I6*(1+Assumptions!B16),0)</f>
        <v/>
      </c>
      <c r="K6" s="60">
        <f>ROUND(J6*(1+Assumptions!B16),0)</f>
        <v/>
      </c>
      <c r="L6" s="60">
        <f>ROUND(K6*(1+Assumptions!B16),0)</f>
        <v/>
      </c>
      <c r="M6" s="60">
        <f>ROUND(L6*(1+Assumptions!B16),0)</f>
        <v/>
      </c>
      <c r="N6" s="60">
        <f>ROUND(M6*(1+Assumptions!B16),0)</f>
        <v/>
      </c>
      <c r="O6" s="60">
        <f>ROUND(N6*(1+Assumptions!B16),0)</f>
        <v/>
      </c>
      <c r="P6" s="60">
        <f>ROUND(O6*(1+Assumptions!B16),0)</f>
        <v/>
      </c>
      <c r="Q6" s="60">
        <f>ROUND(P6*(1+Assumptions!B16),0)</f>
        <v/>
      </c>
      <c r="R6" s="60">
        <f>ROUND(Q6*(1+Assumptions!B16),0)</f>
        <v/>
      </c>
      <c r="S6" s="60">
        <f>ROUND(R6*(1+Assumptions!B16),0)</f>
        <v/>
      </c>
    </row>
    <row r="7" ht="15" customHeight="1" s="44">
      <c r="A7" s="61" t="inlineStr">
        <is>
          <t>Total new signups</t>
        </is>
      </c>
      <c r="B7" s="62">
        <f>B5+B6</f>
        <v/>
      </c>
      <c r="C7" s="62">
        <f>C5+C6</f>
        <v/>
      </c>
      <c r="D7" s="62">
        <f>D5+D6</f>
        <v/>
      </c>
      <c r="E7" s="62">
        <f>E5+E6</f>
        <v/>
      </c>
      <c r="F7" s="62">
        <f>F5+F6</f>
        <v/>
      </c>
      <c r="G7" s="62">
        <f>G5+G6</f>
        <v/>
      </c>
      <c r="H7" s="62">
        <f>H5+H6</f>
        <v/>
      </c>
      <c r="I7" s="62">
        <f>I5+I6</f>
        <v/>
      </c>
      <c r="J7" s="62">
        <f>J5+J6</f>
        <v/>
      </c>
      <c r="K7" s="62">
        <f>K5+K6</f>
        <v/>
      </c>
      <c r="L7" s="62">
        <f>L5+L6</f>
        <v/>
      </c>
      <c r="M7" s="62">
        <f>M5+M6</f>
        <v/>
      </c>
      <c r="N7" s="62">
        <f>N5+N6</f>
        <v/>
      </c>
      <c r="O7" s="62">
        <f>O5+O6</f>
        <v/>
      </c>
      <c r="P7" s="62">
        <f>P5+P6</f>
        <v/>
      </c>
      <c r="Q7" s="62">
        <f>Q5+Q6</f>
        <v/>
      </c>
      <c r="R7" s="62">
        <f>R5+R6</f>
        <v/>
      </c>
      <c r="S7" s="62">
        <f>S5+S6</f>
        <v/>
      </c>
    </row>
    <row r="8" ht="15" customHeight="1" s="44">
      <c r="A8" s="59" t="inlineStr">
        <is>
          <t>Churned users</t>
        </is>
      </c>
      <c r="B8" s="63" t="n">
        <v>0</v>
      </c>
      <c r="C8" s="63">
        <f>ROUND(B9*Assumptions!B13,0)</f>
        <v/>
      </c>
      <c r="D8" s="63">
        <f>ROUND(C9*Assumptions!B13,0)</f>
        <v/>
      </c>
      <c r="E8" s="63">
        <f>ROUND(D9*Assumptions!B13,0)</f>
        <v/>
      </c>
      <c r="F8" s="63">
        <f>ROUND(E9*Assumptions!B13,0)</f>
        <v/>
      </c>
      <c r="G8" s="63">
        <f>ROUND(F9*Assumptions!B13,0)</f>
        <v/>
      </c>
      <c r="H8" s="63">
        <f>ROUND(G9*Assumptions!B13,0)</f>
        <v/>
      </c>
      <c r="I8" s="63">
        <f>ROUND(H9*Assumptions!B13,0)</f>
        <v/>
      </c>
      <c r="J8" s="63">
        <f>ROUND(I9*Assumptions!B13,0)</f>
        <v/>
      </c>
      <c r="K8" s="63">
        <f>ROUND(J9*Assumptions!B13,0)</f>
        <v/>
      </c>
      <c r="L8" s="63">
        <f>ROUND(K9*Assumptions!B13,0)</f>
        <v/>
      </c>
      <c r="M8" s="63">
        <f>ROUND(L9*Assumptions!B13,0)</f>
        <v/>
      </c>
      <c r="N8" s="63">
        <f>ROUND(M9*Assumptions!B13,0)</f>
        <v/>
      </c>
      <c r="O8" s="63">
        <f>ROUND(N9*Assumptions!B13,0)</f>
        <v/>
      </c>
      <c r="P8" s="63">
        <f>ROUND(O9*Assumptions!B13,0)</f>
        <v/>
      </c>
      <c r="Q8" s="63">
        <f>ROUND(P9*Assumptions!B13,0)</f>
        <v/>
      </c>
      <c r="R8" s="63">
        <f>ROUND(Q9*Assumptions!B13,0)</f>
        <v/>
      </c>
      <c r="S8" s="63">
        <f>ROUND(R9*Assumptions!B13,0)</f>
        <v/>
      </c>
    </row>
    <row r="9" ht="15" customHeight="1" s="44">
      <c r="A9" s="61" t="inlineStr">
        <is>
          <t>Cumulative users</t>
        </is>
      </c>
      <c r="B9" s="64">
        <f>B7</f>
        <v/>
      </c>
      <c r="C9" s="64">
        <f>B9+C7-C8</f>
        <v/>
      </c>
      <c r="D9" s="64">
        <f>C9+D7-D8</f>
        <v/>
      </c>
      <c r="E9" s="64">
        <f>D9+E7-E8</f>
        <v/>
      </c>
      <c r="F9" s="64">
        <f>E9+F7-F8</f>
        <v/>
      </c>
      <c r="G9" s="64">
        <f>F9+G7-G8</f>
        <v/>
      </c>
      <c r="H9" s="64">
        <f>G9+H7-H8</f>
        <v/>
      </c>
      <c r="I9" s="64">
        <f>H9+I7-I8</f>
        <v/>
      </c>
      <c r="J9" s="64">
        <f>I9+J7-J8</f>
        <v/>
      </c>
      <c r="K9" s="64">
        <f>J9+K7-K8</f>
        <v/>
      </c>
      <c r="L9" s="64">
        <f>K9+L7-L8</f>
        <v/>
      </c>
      <c r="M9" s="64">
        <f>L9+M7-M8</f>
        <v/>
      </c>
      <c r="N9" s="64">
        <f>M9+N7-N8</f>
        <v/>
      </c>
      <c r="O9" s="64">
        <f>N9+O7-O8</f>
        <v/>
      </c>
      <c r="P9" s="64">
        <f>O9+P7-P8</f>
        <v/>
      </c>
      <c r="Q9" s="64">
        <f>P9+Q7-Q8</f>
        <v/>
      </c>
      <c r="R9" s="64">
        <f>Q9+R7-R8</f>
        <v/>
      </c>
      <c r="S9" s="64">
        <f>R9+S7-S8</f>
        <v/>
      </c>
    </row>
    <row r="10" ht="15" customHeight="1" s="44">
      <c r="A10" s="59" t="inlineStr">
        <is>
          <t>MAU (80% of total)</t>
        </is>
      </c>
      <c r="B10" s="65">
        <f>ROUND(B9*0.8,0)</f>
        <v/>
      </c>
      <c r="C10" s="65">
        <f>ROUND(C9*0.8,0)</f>
        <v/>
      </c>
      <c r="D10" s="65">
        <f>ROUND(D9*0.8,0)</f>
        <v/>
      </c>
      <c r="E10" s="65">
        <f>ROUND(E9*0.8,0)</f>
        <v/>
      </c>
      <c r="F10" s="65">
        <f>ROUND(F9*0.8,0)</f>
        <v/>
      </c>
      <c r="G10" s="65">
        <f>ROUND(G9*0.8,0)</f>
        <v/>
      </c>
      <c r="H10" s="65">
        <f>ROUND(H9*0.8,0)</f>
        <v/>
      </c>
      <c r="I10" s="65">
        <f>ROUND(I9*0.8,0)</f>
        <v/>
      </c>
      <c r="J10" s="65">
        <f>ROUND(J9*0.8,0)</f>
        <v/>
      </c>
      <c r="K10" s="65">
        <f>ROUND(K9*0.8,0)</f>
        <v/>
      </c>
      <c r="L10" s="65">
        <f>ROUND(L9*0.8,0)</f>
        <v/>
      </c>
      <c r="M10" s="65">
        <f>ROUND(M9*0.8,0)</f>
        <v/>
      </c>
      <c r="N10" s="65">
        <f>ROUND(N9*0.8,0)</f>
        <v/>
      </c>
      <c r="O10" s="65">
        <f>ROUND(O9*0.8,0)</f>
        <v/>
      </c>
      <c r="P10" s="65">
        <f>ROUND(P9*0.8,0)</f>
        <v/>
      </c>
      <c r="Q10" s="65">
        <f>ROUND(Q9*0.8,0)</f>
        <v/>
      </c>
      <c r="R10" s="65">
        <f>ROUND(R9*0.8,0)</f>
        <v/>
      </c>
      <c r="S10" s="65">
        <f>ROUND(S9*0.8,0)</f>
        <v/>
      </c>
    </row>
    <row r="11" ht="15" customHeight="1" s="44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</row>
    <row r="12" ht="15" customHeight="1" s="44">
      <c r="A12" s="57" t="inlineStr">
        <is>
          <t>CONVERSION &amp; REVENUE</t>
        </is>
      </c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</row>
    <row r="13" ht="15" customHeight="1" s="44">
      <c r="A13" s="59" t="inlineStr">
        <is>
          <t>D2C conversion rate</t>
        </is>
      </c>
      <c r="B13" s="66" t="n">
        <v>0</v>
      </c>
      <c r="C13" s="66" t="n">
        <v>0</v>
      </c>
      <c r="D13" s="66">
        <f>MIN(Assumptions!B19+((3-Assumptions!B23)*Assumptions!B20),Assumptions!B21)</f>
        <v/>
      </c>
      <c r="E13" s="66">
        <f>MIN(Assumptions!B19+((4-Assumptions!B23)*Assumptions!B20),Assumptions!B21)</f>
        <v/>
      </c>
      <c r="F13" s="66">
        <f>MIN(Assumptions!B19+((5-Assumptions!B23)*Assumptions!B20),Assumptions!B21)</f>
        <v/>
      </c>
      <c r="G13" s="66">
        <f>MIN(Assumptions!B19+((6-Assumptions!B23)*Assumptions!B20),Assumptions!B21)</f>
        <v/>
      </c>
      <c r="H13" s="66">
        <f>MIN(Assumptions!B19+((7-Assumptions!B23)*Assumptions!B20),Assumptions!B21)</f>
        <v/>
      </c>
      <c r="I13" s="66">
        <f>MIN(Assumptions!B19+((8-Assumptions!B23)*Assumptions!B20),Assumptions!B21)</f>
        <v/>
      </c>
      <c r="J13" s="66">
        <f>MIN(Assumptions!B19+((9-Assumptions!B23)*Assumptions!B20),Assumptions!B21)</f>
        <v/>
      </c>
      <c r="K13" s="66">
        <f>MIN(Assumptions!B19+((10-Assumptions!B23)*Assumptions!B20),Assumptions!B21)</f>
        <v/>
      </c>
      <c r="L13" s="66">
        <f>MIN(Assumptions!B19+((11-Assumptions!B23)*Assumptions!B20),Assumptions!B21)</f>
        <v/>
      </c>
      <c r="M13" s="66">
        <f>MIN(Assumptions!B19+((12-Assumptions!B23)*Assumptions!B20),Assumptions!B21)</f>
        <v/>
      </c>
      <c r="N13" s="66">
        <f>MIN(Assumptions!B19+((13-Assumptions!B23)*Assumptions!B20),Assumptions!B21)</f>
        <v/>
      </c>
      <c r="O13" s="66">
        <f>MIN(Assumptions!B19+((14-Assumptions!B23)*Assumptions!B20),Assumptions!B21)</f>
        <v/>
      </c>
      <c r="P13" s="66">
        <f>MIN(Assumptions!B19+((15-Assumptions!B23)*Assumptions!B20),Assumptions!B21)</f>
        <v/>
      </c>
      <c r="Q13" s="66">
        <f>MIN(Assumptions!B19+((16-Assumptions!B23)*Assumptions!B20),Assumptions!B21)</f>
        <v/>
      </c>
      <c r="R13" s="66">
        <f>MIN(Assumptions!B19+((17-Assumptions!B23)*Assumptions!B20),Assumptions!B21)</f>
        <v/>
      </c>
      <c r="S13" s="66">
        <f>MIN(Assumptions!B19+((18-Assumptions!B23)*Assumptions!B20),Assumptions!B21)</f>
        <v/>
      </c>
    </row>
    <row r="14" ht="15" customHeight="1" s="44">
      <c r="A14" s="59" t="inlineStr">
        <is>
          <t>D2C Pro subscribers</t>
        </is>
      </c>
      <c r="B14" s="65">
        <f>ROUND((B9-B16)*B13,0)</f>
        <v/>
      </c>
      <c r="C14" s="65">
        <f>ROUND((C9-C16)*C13,0)</f>
        <v/>
      </c>
      <c r="D14" s="65">
        <f>ROUND((D9-D16)*D13,0)</f>
        <v/>
      </c>
      <c r="E14" s="65">
        <f>ROUND((E9-E16)*E13,0)</f>
        <v/>
      </c>
      <c r="F14" s="65">
        <f>ROUND((F9-F16)*F13,0)</f>
        <v/>
      </c>
      <c r="G14" s="65">
        <f>ROUND((G9-G16)*G13,0)</f>
        <v/>
      </c>
      <c r="H14" s="65">
        <f>ROUND((H9-H16)*H13,0)</f>
        <v/>
      </c>
      <c r="I14" s="65">
        <f>ROUND((I9-I16)*I13,0)</f>
        <v/>
      </c>
      <c r="J14" s="65">
        <f>ROUND((J9-J16)*J13,0)</f>
        <v/>
      </c>
      <c r="K14" s="65">
        <f>ROUND((K9-K16)*K13,0)</f>
        <v/>
      </c>
      <c r="L14" s="65">
        <f>ROUND((L9-L16)*L13,0)</f>
        <v/>
      </c>
      <c r="M14" s="65">
        <f>ROUND((M9-M16)*M13,0)</f>
        <v/>
      </c>
      <c r="N14" s="65">
        <f>ROUND((N9-N16)*N13,0)</f>
        <v/>
      </c>
      <c r="O14" s="65">
        <f>ROUND((O9-O16)*O13,0)</f>
        <v/>
      </c>
      <c r="P14" s="65">
        <f>ROUND((P9-P16)*P13,0)</f>
        <v/>
      </c>
      <c r="Q14" s="65">
        <f>ROUND((Q9-Q16)*Q13,0)</f>
        <v/>
      </c>
      <c r="R14" s="65">
        <f>ROUND((R9-R16)*R13,0)</f>
        <v/>
      </c>
      <c r="S14" s="65">
        <f>ROUND((S9-S16)*S13,0)</f>
        <v/>
      </c>
    </row>
    <row r="15" ht="15" customHeight="1" s="44">
      <c r="A15" s="59" t="inlineStr">
        <is>
          <t>B2B conversion rate</t>
        </is>
      </c>
      <c r="B15" s="66" t="n">
        <v>0</v>
      </c>
      <c r="C15" s="66" t="n">
        <v>0</v>
      </c>
      <c r="D15" s="66" t="n">
        <v>0</v>
      </c>
      <c r="E15" s="66">
        <f>Assumptions!B22</f>
        <v/>
      </c>
      <c r="F15" s="66">
        <f>Assumptions!B22</f>
        <v/>
      </c>
      <c r="G15" s="66">
        <f>Assumptions!B22</f>
        <v/>
      </c>
      <c r="H15" s="66">
        <f>Assumptions!B22</f>
        <v/>
      </c>
      <c r="I15" s="66">
        <f>Assumptions!B22</f>
        <v/>
      </c>
      <c r="J15" s="66">
        <f>Assumptions!B22</f>
        <v/>
      </c>
      <c r="K15" s="66">
        <f>Assumptions!B22</f>
        <v/>
      </c>
      <c r="L15" s="66">
        <f>Assumptions!B22</f>
        <v/>
      </c>
      <c r="M15" s="66">
        <f>Assumptions!B22</f>
        <v/>
      </c>
      <c r="N15" s="66">
        <f>Assumptions!B22</f>
        <v/>
      </c>
      <c r="O15" s="66">
        <f>Assumptions!B22</f>
        <v/>
      </c>
      <c r="P15" s="66">
        <f>Assumptions!B22</f>
        <v/>
      </c>
      <c r="Q15" s="66">
        <f>Assumptions!B22</f>
        <v/>
      </c>
      <c r="R15" s="66">
        <f>Assumptions!B22</f>
        <v/>
      </c>
      <c r="S15" s="66">
        <f>Assumptions!B22</f>
        <v/>
      </c>
    </row>
    <row r="16" ht="15" customHeight="1" s="44">
      <c r="A16" s="59" t="inlineStr">
        <is>
          <t>Cumulative B2B users</t>
        </is>
      </c>
      <c r="B16" s="65">
        <f>B6</f>
        <v/>
      </c>
      <c r="C16" s="65">
        <f>B16+C6</f>
        <v/>
      </c>
      <c r="D16" s="65">
        <f>C16+D6</f>
        <v/>
      </c>
      <c r="E16" s="65">
        <f>D16+E6</f>
        <v/>
      </c>
      <c r="F16" s="65">
        <f>E16+F6</f>
        <v/>
      </c>
      <c r="G16" s="65">
        <f>F16+G6</f>
        <v/>
      </c>
      <c r="H16" s="65">
        <f>G16+H6</f>
        <v/>
      </c>
      <c r="I16" s="65">
        <f>H16+I6</f>
        <v/>
      </c>
      <c r="J16" s="65">
        <f>I16+J6</f>
        <v/>
      </c>
      <c r="K16" s="65">
        <f>J16+K6</f>
        <v/>
      </c>
      <c r="L16" s="65">
        <f>K16+L6</f>
        <v/>
      </c>
      <c r="M16" s="65">
        <f>L16+M6</f>
        <v/>
      </c>
      <c r="N16" s="65">
        <f>M16+N6</f>
        <v/>
      </c>
      <c r="O16" s="65">
        <f>N16+O6</f>
        <v/>
      </c>
      <c r="P16" s="65">
        <f>O16+P6</f>
        <v/>
      </c>
      <c r="Q16" s="65">
        <f>P16+Q6</f>
        <v/>
      </c>
      <c r="R16" s="65">
        <f>Q16+R6</f>
        <v/>
      </c>
      <c r="S16" s="65">
        <f>R16+S6</f>
        <v/>
      </c>
    </row>
    <row r="17" ht="15" customHeight="1" s="44">
      <c r="A17" s="59" t="inlineStr">
        <is>
          <t>B2B Pro subscribers</t>
        </is>
      </c>
      <c r="B17" s="65">
        <f>ROUND(B16*B15,0)</f>
        <v/>
      </c>
      <c r="C17" s="65">
        <f>ROUND(C16*C15,0)</f>
        <v/>
      </c>
      <c r="D17" s="65">
        <f>ROUND(D16*D15,0)</f>
        <v/>
      </c>
      <c r="E17" s="65">
        <f>ROUND(E16*E15,0)</f>
        <v/>
      </c>
      <c r="F17" s="65">
        <f>ROUND(F16*F15,0)</f>
        <v/>
      </c>
      <c r="G17" s="65">
        <f>ROUND(G16*G15,0)</f>
        <v/>
      </c>
      <c r="H17" s="65">
        <f>ROUND(H16*H15,0)</f>
        <v/>
      </c>
      <c r="I17" s="65">
        <f>ROUND(I16*I15,0)</f>
        <v/>
      </c>
      <c r="J17" s="65">
        <f>ROUND(J16*J15,0)</f>
        <v/>
      </c>
      <c r="K17" s="65">
        <f>ROUND(K16*K15,0)</f>
        <v/>
      </c>
      <c r="L17" s="65">
        <f>ROUND(L16*L15,0)</f>
        <v/>
      </c>
      <c r="M17" s="65">
        <f>ROUND(M16*M15,0)</f>
        <v/>
      </c>
      <c r="N17" s="65">
        <f>ROUND(N16*N15,0)</f>
        <v/>
      </c>
      <c r="O17" s="65">
        <f>ROUND(O16*O15,0)</f>
        <v/>
      </c>
      <c r="P17" s="65">
        <f>ROUND(P16*P15,0)</f>
        <v/>
      </c>
      <c r="Q17" s="65">
        <f>ROUND(Q16*Q15,0)</f>
        <v/>
      </c>
      <c r="R17" s="65">
        <f>ROUND(R16*R15,0)</f>
        <v/>
      </c>
      <c r="S17" s="65">
        <f>ROUND(S16*S15,0)</f>
        <v/>
      </c>
    </row>
    <row r="18" ht="15" customHeight="1" s="44">
      <c r="A18" s="61" t="inlineStr">
        <is>
          <t>Total Pro subscribers</t>
        </is>
      </c>
      <c r="B18" s="64">
        <f>B14+B17</f>
        <v/>
      </c>
      <c r="C18" s="64">
        <f>C14+C17</f>
        <v/>
      </c>
      <c r="D18" s="64">
        <f>D14+D17</f>
        <v/>
      </c>
      <c r="E18" s="64">
        <f>E14+E17</f>
        <v/>
      </c>
      <c r="F18" s="64">
        <f>F14+F17</f>
        <v/>
      </c>
      <c r="G18" s="64">
        <f>G14+G17</f>
        <v/>
      </c>
      <c r="H18" s="64">
        <f>H14+H17</f>
        <v/>
      </c>
      <c r="I18" s="64">
        <f>I14+I17</f>
        <v/>
      </c>
      <c r="J18" s="64">
        <f>J14+J17</f>
        <v/>
      </c>
      <c r="K18" s="64">
        <f>K14+K17</f>
        <v/>
      </c>
      <c r="L18" s="64">
        <f>L14+L17</f>
        <v/>
      </c>
      <c r="M18" s="64">
        <f>M14+M17</f>
        <v/>
      </c>
      <c r="N18" s="64">
        <f>N14+N17</f>
        <v/>
      </c>
      <c r="O18" s="64">
        <f>O14+O17</f>
        <v/>
      </c>
      <c r="P18" s="64">
        <f>P14+P17</f>
        <v/>
      </c>
      <c r="Q18" s="64">
        <f>Q14+Q17</f>
        <v/>
      </c>
      <c r="R18" s="64">
        <f>R14+R17</f>
        <v/>
      </c>
      <c r="S18" s="64">
        <f>S14+S17</f>
        <v/>
      </c>
    </row>
    <row r="19" ht="15" customHeight="1" s="44">
      <c r="A19" s="59" t="inlineStr">
        <is>
          <t>Monetization active</t>
        </is>
      </c>
      <c r="B19" s="67">
        <f>IF(1&gt;=Assumptions!B23,"YES","NO")</f>
        <v/>
      </c>
      <c r="C19" s="67">
        <f>IF(2&gt;=Assumptions!B23,"YES","NO")</f>
        <v/>
      </c>
      <c r="D19" s="67">
        <f>IF(3&gt;=Assumptions!B23,"YES","NO")</f>
        <v/>
      </c>
      <c r="E19" s="67">
        <f>IF(4&gt;=Assumptions!B23,"YES","NO")</f>
        <v/>
      </c>
      <c r="F19" s="67">
        <f>IF(5&gt;=Assumptions!B23,"YES","NO")</f>
        <v/>
      </c>
      <c r="G19" s="67">
        <f>IF(6&gt;=Assumptions!B23,"YES","NO")</f>
        <v/>
      </c>
      <c r="H19" s="67">
        <f>IF(7&gt;=Assumptions!B23,"YES","NO")</f>
        <v/>
      </c>
      <c r="I19" s="67">
        <f>IF(8&gt;=Assumptions!B23,"YES","NO")</f>
        <v/>
      </c>
      <c r="J19" s="67">
        <f>IF(9&gt;=Assumptions!B23,"YES","NO")</f>
        <v/>
      </c>
      <c r="K19" s="67">
        <f>IF(10&gt;=Assumptions!B23,"YES","NO")</f>
        <v/>
      </c>
      <c r="L19" s="67">
        <f>IF(11&gt;=Assumptions!B23,"YES","NO")</f>
        <v/>
      </c>
      <c r="M19" s="67">
        <f>IF(12&gt;=Assumptions!B23,"YES","NO")</f>
        <v/>
      </c>
      <c r="N19" s="67">
        <f>IF(13&gt;=Assumptions!B23,"YES","NO")</f>
        <v/>
      </c>
      <c r="O19" s="67">
        <f>IF(14&gt;=Assumptions!B23,"YES","NO")</f>
        <v/>
      </c>
      <c r="P19" s="67">
        <f>IF(15&gt;=Assumptions!B23,"YES","NO")</f>
        <v/>
      </c>
      <c r="Q19" s="67">
        <f>IF(16&gt;=Assumptions!B23,"YES","NO")</f>
        <v/>
      </c>
      <c r="R19" s="67">
        <f>IF(17&gt;=Assumptions!B23,"YES","NO")</f>
        <v/>
      </c>
      <c r="S19" s="67">
        <f>IF(18&gt;=Assumptions!B23,"YES","NO")</f>
        <v/>
      </c>
    </row>
    <row r="20" ht="15" customHeight="1" s="44">
      <c r="A20" s="59" t="inlineStr">
        <is>
          <t>D2C gross revenue</t>
        </is>
      </c>
      <c r="B20" s="68">
        <f>IF(B19="YES",B14*(Assumptions!B5/12),0)</f>
        <v/>
      </c>
      <c r="C20" s="68">
        <f>IF(C19="YES",C14*(Assumptions!B5/12),0)</f>
        <v/>
      </c>
      <c r="D20" s="68">
        <f>IF(D19="YES",D14*(Assumptions!B5/12),0)</f>
        <v/>
      </c>
      <c r="E20" s="68">
        <f>IF(E19="YES",E14*(Assumptions!B5/12),0)</f>
        <v/>
      </c>
      <c r="F20" s="68">
        <f>IF(F19="YES",F14*(Assumptions!B5/12),0)</f>
        <v/>
      </c>
      <c r="G20" s="68">
        <f>IF(G19="YES",G14*(Assumptions!B5/12),0)</f>
        <v/>
      </c>
      <c r="H20" s="68">
        <f>IF(H19="YES",H14*(Assumptions!B5/12),0)</f>
        <v/>
      </c>
      <c r="I20" s="68">
        <f>IF(I19="YES",I14*(Assumptions!B5/12),0)</f>
        <v/>
      </c>
      <c r="J20" s="68">
        <f>IF(J19="YES",J14*(Assumptions!B5/12),0)</f>
        <v/>
      </c>
      <c r="K20" s="68">
        <f>IF(K19="YES",K14*(Assumptions!B5/12),0)</f>
        <v/>
      </c>
      <c r="L20" s="68">
        <f>IF(L19="YES",L14*(Assumptions!B5/12),0)</f>
        <v/>
      </c>
      <c r="M20" s="68">
        <f>IF(M19="YES",M14*(Assumptions!B5/12),0)</f>
        <v/>
      </c>
      <c r="N20" s="68">
        <f>IF(N19="YES",N14*(Assumptions!B5/12),0)</f>
        <v/>
      </c>
      <c r="O20" s="68">
        <f>IF(O19="YES",O14*(Assumptions!B5/12),0)</f>
        <v/>
      </c>
      <c r="P20" s="68">
        <f>IF(P19="YES",P14*(Assumptions!B5/12),0)</f>
        <v/>
      </c>
      <c r="Q20" s="68">
        <f>IF(Q19="YES",Q14*(Assumptions!B5/12),0)</f>
        <v/>
      </c>
      <c r="R20" s="68">
        <f>IF(R19="YES",R14*(Assumptions!B5/12),0)</f>
        <v/>
      </c>
      <c r="S20" s="68">
        <f>IF(S19="YES",S14*(Assumptions!B5/12),0)</f>
        <v/>
      </c>
    </row>
    <row r="21" ht="15" customHeight="1" s="44">
      <c r="A21" s="59" t="inlineStr">
        <is>
          <t>B2B gross revenue</t>
        </is>
      </c>
      <c r="B21" s="68">
        <f>IF(B19="YES",B17*(Assumptions!B8/12),0)</f>
        <v/>
      </c>
      <c r="C21" s="68">
        <f>IF(C19="YES",C17*(Assumptions!B8/12),0)</f>
        <v/>
      </c>
      <c r="D21" s="68">
        <f>IF(D19="YES",D17*(Assumptions!B8/12),0)</f>
        <v/>
      </c>
      <c r="E21" s="68">
        <f>IF(E19="YES",E17*(Assumptions!B8/12),0)</f>
        <v/>
      </c>
      <c r="F21" s="68">
        <f>IF(F19="YES",F17*(Assumptions!B8/12),0)</f>
        <v/>
      </c>
      <c r="G21" s="68">
        <f>IF(G19="YES",G17*(Assumptions!B8/12),0)</f>
        <v/>
      </c>
      <c r="H21" s="68">
        <f>IF(H19="YES",H17*(Assumptions!B8/12),0)</f>
        <v/>
      </c>
      <c r="I21" s="68">
        <f>IF(I19="YES",I17*(Assumptions!B8/12),0)</f>
        <v/>
      </c>
      <c r="J21" s="68">
        <f>IF(J19="YES",J17*(Assumptions!B8/12),0)</f>
        <v/>
      </c>
      <c r="K21" s="68">
        <f>IF(K19="YES",K17*(Assumptions!B8/12),0)</f>
        <v/>
      </c>
      <c r="L21" s="68">
        <f>IF(L19="YES",L17*(Assumptions!B8/12),0)</f>
        <v/>
      </c>
      <c r="M21" s="68">
        <f>IF(M19="YES",M17*(Assumptions!B8/12),0)</f>
        <v/>
      </c>
      <c r="N21" s="68">
        <f>IF(N19="YES",N17*(Assumptions!B8/12),0)</f>
        <v/>
      </c>
      <c r="O21" s="68">
        <f>IF(O19="YES",O17*(Assumptions!B8/12),0)</f>
        <v/>
      </c>
      <c r="P21" s="68">
        <f>IF(P19="YES",P17*(Assumptions!B8/12),0)</f>
        <v/>
      </c>
      <c r="Q21" s="68">
        <f>IF(Q19="YES",Q17*(Assumptions!B8/12),0)</f>
        <v/>
      </c>
      <c r="R21" s="68">
        <f>IF(R19="YES",R17*(Assumptions!B8/12),0)</f>
        <v/>
      </c>
      <c r="S21" s="68">
        <f>IF(S19="YES",S17*(Assumptions!B8/12),0)</f>
        <v/>
      </c>
    </row>
    <row r="22" ht="15" customHeight="1" s="44">
      <c r="A22" s="61" t="inlineStr">
        <is>
          <t>Total gross revenue</t>
        </is>
      </c>
      <c r="B22" s="69">
        <f>B20+B21</f>
        <v/>
      </c>
      <c r="C22" s="69">
        <f>C20+C21</f>
        <v/>
      </c>
      <c r="D22" s="69">
        <f>D20+D21</f>
        <v/>
      </c>
      <c r="E22" s="69">
        <f>E20+E21</f>
        <v/>
      </c>
      <c r="F22" s="69">
        <f>F20+F21</f>
        <v/>
      </c>
      <c r="G22" s="69">
        <f>G20+G21</f>
        <v/>
      </c>
      <c r="H22" s="69">
        <f>H20+H21</f>
        <v/>
      </c>
      <c r="I22" s="69">
        <f>I20+I21</f>
        <v/>
      </c>
      <c r="J22" s="69">
        <f>J20+J21</f>
        <v/>
      </c>
      <c r="K22" s="69">
        <f>K20+K21</f>
        <v/>
      </c>
      <c r="L22" s="69">
        <f>L20+L21</f>
        <v/>
      </c>
      <c r="M22" s="69">
        <f>M20+M21</f>
        <v/>
      </c>
      <c r="N22" s="69">
        <f>N20+N21</f>
        <v/>
      </c>
      <c r="O22" s="69">
        <f>O20+O21</f>
        <v/>
      </c>
      <c r="P22" s="69">
        <f>P20+P21</f>
        <v/>
      </c>
      <c r="Q22" s="69">
        <f>Q20+Q21</f>
        <v/>
      </c>
      <c r="R22" s="69">
        <f>R20+R21</f>
        <v/>
      </c>
      <c r="S22" s="69">
        <f>S20+S21</f>
        <v/>
      </c>
    </row>
    <row r="23" ht="15" customHeight="1" s="44">
      <c r="A23" s="59" t="inlineStr">
        <is>
          <t>Gateway fees</t>
        </is>
      </c>
      <c r="B23" s="70">
        <f>ROUND(B22*Assumptions!B30,0)</f>
        <v/>
      </c>
      <c r="C23" s="70">
        <f>ROUND(C22*Assumptions!B30,0)</f>
        <v/>
      </c>
      <c r="D23" s="70">
        <f>ROUND(D22*Assumptions!B30,0)</f>
        <v/>
      </c>
      <c r="E23" s="70">
        <f>ROUND(E22*Assumptions!B30,0)</f>
        <v/>
      </c>
      <c r="F23" s="70">
        <f>ROUND(F22*Assumptions!B30,0)</f>
        <v/>
      </c>
      <c r="G23" s="70">
        <f>ROUND(G22*Assumptions!B30,0)</f>
        <v/>
      </c>
      <c r="H23" s="70">
        <f>ROUND(H22*Assumptions!B30,0)</f>
        <v/>
      </c>
      <c r="I23" s="70">
        <f>ROUND(I22*Assumptions!B30,0)</f>
        <v/>
      </c>
      <c r="J23" s="70">
        <f>ROUND(J22*Assumptions!B30,0)</f>
        <v/>
      </c>
      <c r="K23" s="70">
        <f>ROUND(K22*Assumptions!B30,0)</f>
        <v/>
      </c>
      <c r="L23" s="70">
        <f>ROUND(L22*Assumptions!B30,0)</f>
        <v/>
      </c>
      <c r="M23" s="70">
        <f>ROUND(M22*Assumptions!B30,0)</f>
        <v/>
      </c>
      <c r="N23" s="70">
        <f>ROUND(N22*Assumptions!B30,0)</f>
        <v/>
      </c>
      <c r="O23" s="70">
        <f>ROUND(O22*Assumptions!B30,0)</f>
        <v/>
      </c>
      <c r="P23" s="70">
        <f>ROUND(P22*Assumptions!B30,0)</f>
        <v/>
      </c>
      <c r="Q23" s="70">
        <f>ROUND(Q22*Assumptions!B30,0)</f>
        <v/>
      </c>
      <c r="R23" s="70">
        <f>ROUND(R22*Assumptions!B30,0)</f>
        <v/>
      </c>
      <c r="S23" s="70">
        <f>ROUND(S22*Assumptions!B30,0)</f>
        <v/>
      </c>
    </row>
    <row r="24" ht="15" customHeight="1" s="44">
      <c r="A24" s="61" t="inlineStr">
        <is>
          <t>Net revenue</t>
        </is>
      </c>
      <c r="B24" s="71">
        <f>B22-B23</f>
        <v/>
      </c>
      <c r="C24" s="71">
        <f>C22-C23</f>
        <v/>
      </c>
      <c r="D24" s="71">
        <f>D22-D23</f>
        <v/>
      </c>
      <c r="E24" s="71">
        <f>E22-E23</f>
        <v/>
      </c>
      <c r="F24" s="71">
        <f>F22-F23</f>
        <v/>
      </c>
      <c r="G24" s="71">
        <f>G22-G23</f>
        <v/>
      </c>
      <c r="H24" s="71">
        <f>H22-H23</f>
        <v/>
      </c>
      <c r="I24" s="71">
        <f>I22-I23</f>
        <v/>
      </c>
      <c r="J24" s="71">
        <f>J22-J23</f>
        <v/>
      </c>
      <c r="K24" s="71">
        <f>K22-K23</f>
        <v/>
      </c>
      <c r="L24" s="71">
        <f>L22-L23</f>
        <v/>
      </c>
      <c r="M24" s="71">
        <f>M22-M23</f>
        <v/>
      </c>
      <c r="N24" s="71">
        <f>N22-N23</f>
        <v/>
      </c>
      <c r="O24" s="71">
        <f>O22-O23</f>
        <v/>
      </c>
      <c r="P24" s="71">
        <f>P22-P23</f>
        <v/>
      </c>
      <c r="Q24" s="71">
        <f>Q22-Q23</f>
        <v/>
      </c>
      <c r="R24" s="71">
        <f>R22-R23</f>
        <v/>
      </c>
      <c r="S24" s="71">
        <f>S22-S23</f>
        <v/>
      </c>
    </row>
    <row r="25" ht="15" customHeight="1" s="44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</row>
    <row r="26" ht="15" customHeight="1" s="44">
      <c r="A26" s="57" t="inlineStr">
        <is>
          <t>EXPENSES</t>
        </is>
      </c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</row>
    <row r="27" ht="15" customHeight="1" s="44">
      <c r="A27" s="59" t="inlineStr">
        <is>
          <t>Infrastructure</t>
        </is>
      </c>
      <c r="B27" s="72">
        <f>Assumptions!B39</f>
        <v/>
      </c>
      <c r="C27" s="72">
        <f>Assumptions!B39</f>
        <v/>
      </c>
      <c r="D27" s="72">
        <f>Assumptions!B39</f>
        <v/>
      </c>
      <c r="E27" s="72">
        <f>Assumptions!B39</f>
        <v/>
      </c>
      <c r="F27" s="72">
        <f>Assumptions!B39</f>
        <v/>
      </c>
      <c r="G27" s="72">
        <f>Assumptions!B39</f>
        <v/>
      </c>
      <c r="H27" s="72">
        <f>Assumptions!B39</f>
        <v/>
      </c>
      <c r="I27" s="72">
        <f>Assumptions!B39</f>
        <v/>
      </c>
      <c r="J27" s="72">
        <f>Assumptions!B39</f>
        <v/>
      </c>
      <c r="K27" s="72">
        <f>Assumptions!B39</f>
        <v/>
      </c>
      <c r="L27" s="72">
        <f>Assumptions!B39</f>
        <v/>
      </c>
      <c r="M27" s="72">
        <f>Assumptions!B39</f>
        <v/>
      </c>
      <c r="N27" s="72">
        <f>Assumptions!B39</f>
        <v/>
      </c>
      <c r="O27" s="72">
        <f>Assumptions!B39</f>
        <v/>
      </c>
      <c r="P27" s="72">
        <f>Assumptions!B39</f>
        <v/>
      </c>
      <c r="Q27" s="72">
        <f>Assumptions!B39</f>
        <v/>
      </c>
      <c r="R27" s="72">
        <f>Assumptions!B39</f>
        <v/>
      </c>
      <c r="S27" s="72">
        <f>Assumptions!B39</f>
        <v/>
      </c>
    </row>
    <row r="28" ht="15" customHeight="1" s="44">
      <c r="A28" s="59" t="inlineStr">
        <is>
          <t>Marketing &amp; ads</t>
        </is>
      </c>
      <c r="B28" s="68" t="n">
        <v>0</v>
      </c>
      <c r="C28" s="68" t="n">
        <v>0</v>
      </c>
      <c r="D28" s="68">
        <f>MIN(Assumptions!B43+(3-Assumptions!B42)*Assumptions!B44,Assumptions!B45)</f>
        <v/>
      </c>
      <c r="E28" s="68">
        <f>MIN(Assumptions!B43+(4-Assumptions!B42)*Assumptions!B44,Assumptions!B45)</f>
        <v/>
      </c>
      <c r="F28" s="68">
        <f>MIN(Assumptions!B43+(5-Assumptions!B42)*Assumptions!B44,Assumptions!B45)</f>
        <v/>
      </c>
      <c r="G28" s="68">
        <f>MIN(Assumptions!B43+(6-Assumptions!B42)*Assumptions!B44,Assumptions!B45)</f>
        <v/>
      </c>
      <c r="H28" s="68">
        <f>MIN(Assumptions!B43+(7-Assumptions!B42)*Assumptions!B44,Assumptions!B45)</f>
        <v/>
      </c>
      <c r="I28" s="68">
        <f>MIN(Assumptions!B43+(8-Assumptions!B42)*Assumptions!B44,Assumptions!B45)</f>
        <v/>
      </c>
      <c r="J28" s="68">
        <f>MIN(Assumptions!B43+(9-Assumptions!B42)*Assumptions!B44,Assumptions!B45)</f>
        <v/>
      </c>
      <c r="K28" s="68">
        <f>MIN(Assumptions!B43+(10-Assumptions!B42)*Assumptions!B44,Assumptions!B45)</f>
        <v/>
      </c>
      <c r="L28" s="68">
        <f>MIN(Assumptions!B43+(11-Assumptions!B42)*Assumptions!B44,Assumptions!B45)</f>
        <v/>
      </c>
      <c r="M28" s="68">
        <f>MIN(Assumptions!B43+(12-Assumptions!B42)*Assumptions!B44,Assumptions!B45)</f>
        <v/>
      </c>
      <c r="N28" s="68">
        <f>MIN(Assumptions!B43+(13-Assumptions!B42)*Assumptions!B44,Assumptions!B45)</f>
        <v/>
      </c>
      <c r="O28" s="68">
        <f>MIN(Assumptions!B43+(14-Assumptions!B42)*Assumptions!B44,Assumptions!B45)</f>
        <v/>
      </c>
      <c r="P28" s="68">
        <f>MIN(Assumptions!B43+(15-Assumptions!B42)*Assumptions!B44,Assumptions!B45)</f>
        <v/>
      </c>
      <c r="Q28" s="68">
        <f>MIN(Assumptions!B43+(16-Assumptions!B42)*Assumptions!B44,Assumptions!B45)</f>
        <v/>
      </c>
      <c r="R28" s="68">
        <f>MIN(Assumptions!B43+(17-Assumptions!B42)*Assumptions!B44,Assumptions!B45)</f>
        <v/>
      </c>
      <c r="S28" s="68">
        <f>MIN(Assumptions!B43+(18-Assumptions!B42)*Assumptions!B44,Assumptions!B45)</f>
        <v/>
      </c>
    </row>
    <row r="29" ht="15" customHeight="1" s="44">
      <c r="A29" s="59" t="inlineStr">
        <is>
          <t>B2B partnership costs</t>
        </is>
      </c>
      <c r="B29" s="72" t="n">
        <v>0</v>
      </c>
      <c r="C29" s="72" t="n">
        <v>0</v>
      </c>
      <c r="D29" s="72" t="n">
        <v>0</v>
      </c>
      <c r="E29" s="72">
        <f>Assumptions!B46</f>
        <v/>
      </c>
      <c r="F29" s="72">
        <f>Assumptions!B46</f>
        <v/>
      </c>
      <c r="G29" s="72">
        <f>Assumptions!B46</f>
        <v/>
      </c>
      <c r="H29" s="72">
        <f>Assumptions!B46</f>
        <v/>
      </c>
      <c r="I29" s="72">
        <f>Assumptions!B46</f>
        <v/>
      </c>
      <c r="J29" s="72">
        <f>Assumptions!B46</f>
        <v/>
      </c>
      <c r="K29" s="72">
        <f>Assumptions!B46</f>
        <v/>
      </c>
      <c r="L29" s="72">
        <f>Assumptions!B46</f>
        <v/>
      </c>
      <c r="M29" s="72">
        <f>Assumptions!B46</f>
        <v/>
      </c>
      <c r="N29" s="72">
        <f>Assumptions!B46</f>
        <v/>
      </c>
      <c r="O29" s="72">
        <f>Assumptions!B46</f>
        <v/>
      </c>
      <c r="P29" s="72">
        <f>Assumptions!B46</f>
        <v/>
      </c>
      <c r="Q29" s="72">
        <f>Assumptions!B46</f>
        <v/>
      </c>
      <c r="R29" s="72">
        <f>Assumptions!B46</f>
        <v/>
      </c>
      <c r="S29" s="72">
        <f>Assumptions!B46</f>
        <v/>
      </c>
    </row>
    <row r="30" ht="15" customHeight="1" s="44">
      <c r="A30" s="59" t="inlineStr">
        <is>
          <t>Content creation</t>
        </is>
      </c>
      <c r="B30" s="72" t="n">
        <v>0</v>
      </c>
      <c r="C30" s="72" t="n">
        <v>0</v>
      </c>
      <c r="D30" s="72">
        <f>Assumptions!B47</f>
        <v/>
      </c>
      <c r="E30" s="72">
        <f>Assumptions!B47</f>
        <v/>
      </c>
      <c r="F30" s="72">
        <f>Assumptions!B47</f>
        <v/>
      </c>
      <c r="G30" s="72">
        <f>Assumptions!B47</f>
        <v/>
      </c>
      <c r="H30" s="72">
        <f>Assumptions!B47</f>
        <v/>
      </c>
      <c r="I30" s="72">
        <f>Assumptions!B47</f>
        <v/>
      </c>
      <c r="J30" s="72">
        <f>Assumptions!B47</f>
        <v/>
      </c>
      <c r="K30" s="72">
        <f>Assumptions!B47</f>
        <v/>
      </c>
      <c r="L30" s="72">
        <f>Assumptions!B47</f>
        <v/>
      </c>
      <c r="M30" s="72">
        <f>Assumptions!B47</f>
        <v/>
      </c>
      <c r="N30" s="72">
        <f>Assumptions!B47</f>
        <v/>
      </c>
      <c r="O30" s="72">
        <f>Assumptions!B47</f>
        <v/>
      </c>
      <c r="P30" s="72">
        <f>Assumptions!B47</f>
        <v/>
      </c>
      <c r="Q30" s="72">
        <f>Assumptions!B47</f>
        <v/>
      </c>
      <c r="R30" s="72">
        <f>Assumptions!B47</f>
        <v/>
      </c>
      <c r="S30" s="72">
        <f>Assumptions!B47</f>
        <v/>
      </c>
    </row>
    <row r="31" ht="15" customHeight="1" s="44">
      <c r="A31" s="61" t="inlineStr">
        <is>
          <t>Total expenses</t>
        </is>
      </c>
      <c r="B31" s="73">
        <f>B27+B28+B29+B30</f>
        <v/>
      </c>
      <c r="C31" s="73">
        <f>C27+C28+C29+C30</f>
        <v/>
      </c>
      <c r="D31" s="73">
        <f>D27+D28+D29+D30</f>
        <v/>
      </c>
      <c r="E31" s="73">
        <f>E27+E28+E29+E30</f>
        <v/>
      </c>
      <c r="F31" s="73">
        <f>F27+F28+F29+F30</f>
        <v/>
      </c>
      <c r="G31" s="73">
        <f>G27+G28+G29+G30</f>
        <v/>
      </c>
      <c r="H31" s="73">
        <f>H27+H28+H29+H30</f>
        <v/>
      </c>
      <c r="I31" s="73">
        <f>I27+I28+I29+I30</f>
        <v/>
      </c>
      <c r="J31" s="73">
        <f>J27+J28+J29+J30</f>
        <v/>
      </c>
      <c r="K31" s="73">
        <f>K27+K28+K29+K30</f>
        <v/>
      </c>
      <c r="L31" s="73">
        <f>L27+L28+L29+L30</f>
        <v/>
      </c>
      <c r="M31" s="73">
        <f>M27+M28+M29+M30</f>
        <v/>
      </c>
      <c r="N31" s="73">
        <f>N27+N28+N29+N30</f>
        <v/>
      </c>
      <c r="O31" s="73">
        <f>O27+O28+O29+O30</f>
        <v/>
      </c>
      <c r="P31" s="73">
        <f>P27+P28+P29+P30</f>
        <v/>
      </c>
      <c r="Q31" s="73">
        <f>Q27+Q28+Q29+Q30</f>
        <v/>
      </c>
      <c r="R31" s="73">
        <f>R27+R28+R29+R30</f>
        <v/>
      </c>
      <c r="S31" s="73">
        <f>S27+S28+S29+S30</f>
        <v/>
      </c>
    </row>
    <row r="32" ht="15" customHeight="1" s="44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</row>
    <row r="33" ht="15" customHeight="1" s="44">
      <c r="A33" s="57" t="inlineStr">
        <is>
          <t>PROFIT / LOSS</t>
        </is>
      </c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</row>
    <row r="34" ht="15" customHeight="1" s="44">
      <c r="A34" s="61" t="inlineStr">
        <is>
          <t>Monthly profit/loss</t>
        </is>
      </c>
      <c r="B34" s="74">
        <f>B24-B31</f>
        <v/>
      </c>
      <c r="C34" s="74">
        <f>C24-C31</f>
        <v/>
      </c>
      <c r="D34" s="74">
        <f>D24-D31</f>
        <v/>
      </c>
      <c r="E34" s="74">
        <f>E24-E31</f>
        <v/>
      </c>
      <c r="F34" s="74">
        <f>F24-F31</f>
        <v/>
      </c>
      <c r="G34" s="74">
        <f>G24-G31</f>
        <v/>
      </c>
      <c r="H34" s="74">
        <f>H24-H31</f>
        <v/>
      </c>
      <c r="I34" s="74">
        <f>I24-I31</f>
        <v/>
      </c>
      <c r="J34" s="74">
        <f>J24-J31</f>
        <v/>
      </c>
      <c r="K34" s="74">
        <f>K24-K31</f>
        <v/>
      </c>
      <c r="L34" s="74">
        <f>L24-L31</f>
        <v/>
      </c>
      <c r="M34" s="74">
        <f>M24-M31</f>
        <v/>
      </c>
      <c r="N34" s="74">
        <f>N24-N31</f>
        <v/>
      </c>
      <c r="O34" s="74">
        <f>O24-O31</f>
        <v/>
      </c>
      <c r="P34" s="74">
        <f>P24-P31</f>
        <v/>
      </c>
      <c r="Q34" s="74">
        <f>Q24-Q31</f>
        <v/>
      </c>
      <c r="R34" s="74">
        <f>R24-R31</f>
        <v/>
      </c>
      <c r="S34" s="74">
        <f>S24-S31</f>
        <v/>
      </c>
    </row>
    <row r="35" ht="15" customHeight="1" s="44">
      <c r="A35" s="61" t="inlineStr">
        <is>
          <t>Cumulative profit/loss</t>
        </is>
      </c>
      <c r="B35" s="75">
        <f>B34</f>
        <v/>
      </c>
      <c r="C35" s="75">
        <f>B35+C34</f>
        <v/>
      </c>
      <c r="D35" s="75">
        <f>C35+D34</f>
        <v/>
      </c>
      <c r="E35" s="75">
        <f>D35+E34</f>
        <v/>
      </c>
      <c r="F35" s="75">
        <f>E35+F34</f>
        <v/>
      </c>
      <c r="G35" s="75">
        <f>F35+G34</f>
        <v/>
      </c>
      <c r="H35" s="75">
        <f>G35+H34</f>
        <v/>
      </c>
      <c r="I35" s="75">
        <f>H35+I34</f>
        <v/>
      </c>
      <c r="J35" s="75">
        <f>I35+J34</f>
        <v/>
      </c>
      <c r="K35" s="75">
        <f>J35+K34</f>
        <v/>
      </c>
      <c r="L35" s="75">
        <f>K35+L34</f>
        <v/>
      </c>
      <c r="M35" s="75">
        <f>L35+M34</f>
        <v/>
      </c>
      <c r="N35" s="75">
        <f>M35+N34</f>
        <v/>
      </c>
      <c r="O35" s="75">
        <f>N35+O34</f>
        <v/>
      </c>
      <c r="P35" s="75">
        <f>O35+P34</f>
        <v/>
      </c>
      <c r="Q35" s="75">
        <f>P35+Q34</f>
        <v/>
      </c>
      <c r="R35" s="75">
        <f>Q35+R34</f>
        <v/>
      </c>
      <c r="S35" s="75">
        <f>R35+S34</f>
        <v/>
      </c>
    </row>
    <row r="36" ht="15" customHeight="1" s="44">
      <c r="A36" s="59" t="inlineStr">
        <is>
          <t>Profit margin</t>
        </is>
      </c>
      <c r="B36" s="66">
        <f>IF(B24&gt;0,B34/B24,0)</f>
        <v/>
      </c>
      <c r="C36" s="66">
        <f>IF(C24&gt;0,C34/C24,0)</f>
        <v/>
      </c>
      <c r="D36" s="66">
        <f>IF(D24&gt;0,D34/D24,0)</f>
        <v/>
      </c>
      <c r="E36" s="66">
        <f>IF(E24&gt;0,E34/E24,0)</f>
        <v/>
      </c>
      <c r="F36" s="66">
        <f>IF(F24&gt;0,F34/F24,0)</f>
        <v/>
      </c>
      <c r="G36" s="66">
        <f>IF(G24&gt;0,G34/G24,0)</f>
        <v/>
      </c>
      <c r="H36" s="66">
        <f>IF(H24&gt;0,H34/H24,0)</f>
        <v/>
      </c>
      <c r="I36" s="66">
        <f>IF(I24&gt;0,I34/I24,0)</f>
        <v/>
      </c>
      <c r="J36" s="66">
        <f>IF(J24&gt;0,J34/J24,0)</f>
        <v/>
      </c>
      <c r="K36" s="66">
        <f>IF(K24&gt;0,K34/K24,0)</f>
        <v/>
      </c>
      <c r="L36" s="66">
        <f>IF(L24&gt;0,L34/L24,0)</f>
        <v/>
      </c>
      <c r="M36" s="66">
        <f>IF(M24&gt;0,M34/M24,0)</f>
        <v/>
      </c>
      <c r="N36" s="66">
        <f>IF(N24&gt;0,N34/N24,0)</f>
        <v/>
      </c>
      <c r="O36" s="66">
        <f>IF(O24&gt;0,O34/O24,0)</f>
        <v/>
      </c>
      <c r="P36" s="66">
        <f>IF(P24&gt;0,P34/P24,0)</f>
        <v/>
      </c>
      <c r="Q36" s="66">
        <f>IF(Q24&gt;0,Q34/Q24,0)</f>
        <v/>
      </c>
      <c r="R36" s="66">
        <f>IF(R24&gt;0,R34/R24,0)</f>
        <v/>
      </c>
      <c r="S36" s="66">
        <f>IF(S24&gt;0,S34/S24,0)</f>
        <v/>
      </c>
    </row>
    <row r="37" ht="15" customHeight="1" s="44">
      <c r="A37" s="59" t="inlineStr">
        <is>
          <t>Breakeven reached?</t>
        </is>
      </c>
      <c r="B37" s="67">
        <f>IF(B35&gt;0,"✓ YES","NO")</f>
        <v/>
      </c>
      <c r="C37" s="67">
        <f>IF(C35&gt;0,"✓ YES","NO")</f>
        <v/>
      </c>
      <c r="D37" s="67">
        <f>IF(D35&gt;0,"✓ YES","NO")</f>
        <v/>
      </c>
      <c r="E37" s="67">
        <f>IF(E35&gt;0,"✓ YES","NO")</f>
        <v/>
      </c>
      <c r="F37" s="67">
        <f>IF(F35&gt;0,"✓ YES","NO")</f>
        <v/>
      </c>
      <c r="G37" s="67">
        <f>IF(G35&gt;0,"✓ YES","NO")</f>
        <v/>
      </c>
      <c r="H37" s="67">
        <f>IF(H35&gt;0,"✓ YES","NO")</f>
        <v/>
      </c>
      <c r="I37" s="67">
        <f>IF(I35&gt;0,"✓ YES","NO")</f>
        <v/>
      </c>
      <c r="J37" s="67">
        <f>IF(J35&gt;0,"✓ YES","NO")</f>
        <v/>
      </c>
      <c r="K37" s="67">
        <f>IF(K35&gt;0,"✓ YES","NO")</f>
        <v/>
      </c>
      <c r="L37" s="67">
        <f>IF(L35&gt;0,"✓ YES","NO")</f>
        <v/>
      </c>
      <c r="M37" s="67">
        <f>IF(M35&gt;0,"✓ YES","NO")</f>
        <v/>
      </c>
      <c r="N37" s="67">
        <f>IF(N35&gt;0,"✓ YES","NO")</f>
        <v/>
      </c>
      <c r="O37" s="67">
        <f>IF(O35&gt;0,"✓ YES","NO")</f>
        <v/>
      </c>
      <c r="P37" s="67">
        <f>IF(P35&gt;0,"✓ YES","NO")</f>
        <v/>
      </c>
      <c r="Q37" s="67">
        <f>IF(Q35&gt;0,"✓ YES","NO")</f>
        <v/>
      </c>
      <c r="R37" s="67">
        <f>IF(R35&gt;0,"✓ YES","NO")</f>
        <v/>
      </c>
      <c r="S37" s="67">
        <f>IF(S35&gt;0,"✓ YES","NO")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43" min="1" max="1"/>
    <col width="16" customWidth="1" style="43" min="2" max="7"/>
  </cols>
  <sheetData>
    <row r="1" ht="17.25" customHeight="1" s="44">
      <c r="A1" s="45" t="inlineStr">
        <is>
          <t>KutumbKosh — Executive Summary (v2)</t>
        </is>
      </c>
    </row>
    <row r="2"/>
    <row r="3" ht="15" customHeight="1" s="44">
      <c r="A3" s="47" t="inlineStr">
        <is>
          <t>QUARTERLY SNAPSHOTS</t>
        </is>
      </c>
    </row>
    <row r="4" ht="15" customHeight="1" s="44">
      <c r="A4" s="76" t="inlineStr">
        <is>
          <t>Metric</t>
        </is>
      </c>
      <c r="B4" s="77" t="inlineStr">
        <is>
          <t>M3</t>
        </is>
      </c>
      <c r="C4" s="77" t="inlineStr">
        <is>
          <t>M6</t>
        </is>
      </c>
      <c r="D4" s="77" t="inlineStr">
        <is>
          <t>M9</t>
        </is>
      </c>
      <c r="E4" s="77" t="inlineStr">
        <is>
          <t>M12</t>
        </is>
      </c>
      <c r="F4" s="77" t="inlineStr">
        <is>
          <t>M15</t>
        </is>
      </c>
      <c r="G4" s="77" t="inlineStr">
        <is>
          <t>M18</t>
        </is>
      </c>
    </row>
    <row r="5" ht="15" customHeight="1" s="44">
      <c r="A5" s="59" t="inlineStr">
        <is>
          <t>Total users</t>
        </is>
      </c>
      <c r="B5" s="78">
        <f>'Growth Model'!D9</f>
        <v/>
      </c>
      <c r="C5" s="78">
        <f>'Growth Model'!G9</f>
        <v/>
      </c>
      <c r="D5" s="78">
        <f>'Growth Model'!J9</f>
        <v/>
      </c>
      <c r="E5" s="78">
        <f>'Growth Model'!M9</f>
        <v/>
      </c>
      <c r="F5" s="78">
        <f>'Growth Model'!P9</f>
        <v/>
      </c>
      <c r="G5" s="78">
        <f>'Growth Model'!S9</f>
        <v/>
      </c>
    </row>
    <row r="6" ht="15" customHeight="1" s="44">
      <c r="A6" s="59" t="inlineStr">
        <is>
          <t>Pro subscribers</t>
        </is>
      </c>
      <c r="B6" s="78">
        <f>'Growth Model'!D18</f>
        <v/>
      </c>
      <c r="C6" s="78">
        <f>'Growth Model'!G18</f>
        <v/>
      </c>
      <c r="D6" s="78">
        <f>'Growth Model'!J18</f>
        <v/>
      </c>
      <c r="E6" s="78">
        <f>'Growth Model'!M18</f>
        <v/>
      </c>
      <c r="F6" s="78">
        <f>'Growth Model'!P18</f>
        <v/>
      </c>
      <c r="G6" s="78">
        <f>'Growth Model'!S18</f>
        <v/>
      </c>
    </row>
    <row r="7" ht="15" customHeight="1" s="44">
      <c r="A7" s="59" t="inlineStr">
        <is>
          <t>Monthly net revenue</t>
        </is>
      </c>
      <c r="B7" s="79">
        <f>'Growth Model'!D24</f>
        <v/>
      </c>
      <c r="C7" s="79">
        <f>'Growth Model'!G24</f>
        <v/>
      </c>
      <c r="D7" s="79">
        <f>'Growth Model'!J24</f>
        <v/>
      </c>
      <c r="E7" s="79">
        <f>'Growth Model'!M24</f>
        <v/>
      </c>
      <c r="F7" s="79">
        <f>'Growth Model'!P24</f>
        <v/>
      </c>
      <c r="G7" s="79">
        <f>'Growth Model'!S24</f>
        <v/>
      </c>
    </row>
    <row r="8" ht="15" customHeight="1" s="44">
      <c r="A8" s="59" t="inlineStr">
        <is>
          <t>Monthly expenses</t>
        </is>
      </c>
      <c r="B8" s="79">
        <f>'Growth Model'!D31</f>
        <v/>
      </c>
      <c r="C8" s="79">
        <f>'Growth Model'!G31</f>
        <v/>
      </c>
      <c r="D8" s="79">
        <f>'Growth Model'!J31</f>
        <v/>
      </c>
      <c r="E8" s="79">
        <f>'Growth Model'!M31</f>
        <v/>
      </c>
      <c r="F8" s="79">
        <f>'Growth Model'!P31</f>
        <v/>
      </c>
      <c r="G8" s="79">
        <f>'Growth Model'!S31</f>
        <v/>
      </c>
    </row>
    <row r="9" ht="15" customHeight="1" s="44">
      <c r="A9" s="59" t="inlineStr">
        <is>
          <t>Monthly profit</t>
        </is>
      </c>
      <c r="B9" s="80">
        <f>'Growth Model'!D34</f>
        <v/>
      </c>
      <c r="C9" s="80">
        <f>'Growth Model'!G34</f>
        <v/>
      </c>
      <c r="D9" s="80">
        <f>'Growth Model'!J34</f>
        <v/>
      </c>
      <c r="E9" s="80">
        <f>'Growth Model'!M34</f>
        <v/>
      </c>
      <c r="F9" s="80">
        <f>'Growth Model'!P34</f>
        <v/>
      </c>
      <c r="G9" s="80">
        <f>'Growth Model'!S34</f>
        <v/>
      </c>
    </row>
    <row r="10" ht="15" customHeight="1" s="44">
      <c r="A10" s="59" t="inlineStr">
        <is>
          <t>Cumulative profit</t>
        </is>
      </c>
      <c r="B10" s="80">
        <f>'Growth Model'!D35</f>
        <v/>
      </c>
      <c r="C10" s="80">
        <f>'Growth Model'!G35</f>
        <v/>
      </c>
      <c r="D10" s="80">
        <f>'Growth Model'!J35</f>
        <v/>
      </c>
      <c r="E10" s="80">
        <f>'Growth Model'!M35</f>
        <v/>
      </c>
      <c r="F10" s="80">
        <f>'Growth Model'!P35</f>
        <v/>
      </c>
      <c r="G10" s="80">
        <f>'Growth Model'!S35</f>
        <v/>
      </c>
    </row>
    <row r="11" ht="15" customHeight="1" s="44">
      <c r="A11" s="59" t="inlineStr">
        <is>
          <t>Profit margin</t>
        </is>
      </c>
      <c r="B11" s="81">
        <f>'Growth Model'!D36</f>
        <v/>
      </c>
      <c r="C11" s="81">
        <f>'Growth Model'!G36</f>
        <v/>
      </c>
      <c r="D11" s="81">
        <f>'Growth Model'!J36</f>
        <v/>
      </c>
      <c r="E11" s="81">
        <f>'Growth Model'!M36</f>
        <v/>
      </c>
      <c r="F11" s="81">
        <f>'Growth Model'!P36</f>
        <v/>
      </c>
      <c r="G11" s="81">
        <f>'Growth Model'!S36</f>
        <v/>
      </c>
    </row>
    <row r="12"/>
    <row r="13"/>
    <row r="14" ht="15" customHeight="1" s="44">
      <c r="A14" s="47" t="inlineStr">
        <is>
          <t>18-MONTH TOTALS</t>
        </is>
      </c>
    </row>
    <row r="15" ht="15" customHeight="1" s="44">
      <c r="A15" s="76" t="inlineStr">
        <is>
          <t>Metric</t>
        </is>
      </c>
      <c r="B15" s="77" t="inlineStr">
        <is>
          <t>Amount</t>
        </is>
      </c>
    </row>
    <row r="16" ht="15" customHeight="1" s="44">
      <c r="A16" s="59" t="inlineStr">
        <is>
          <t>Total gross revenue</t>
        </is>
      </c>
      <c r="B16" s="72">
        <f>SUM('Growth Model'!B22:S22)</f>
        <v/>
      </c>
    </row>
    <row r="17" ht="15" customHeight="1" s="44">
      <c r="A17" s="59" t="inlineStr">
        <is>
          <t>Total gateway fees</t>
        </is>
      </c>
      <c r="B17" s="72">
        <f>SUM('Growth Model'!B23:S23)</f>
        <v/>
      </c>
    </row>
    <row r="18" ht="15" customHeight="1" s="44">
      <c r="A18" s="59" t="inlineStr">
        <is>
          <t>Total net revenue</t>
        </is>
      </c>
      <c r="B18" s="72">
        <f>SUM('Growth Model'!B24:S24)</f>
        <v/>
      </c>
    </row>
    <row r="19" ht="15" customHeight="1" s="44">
      <c r="A19" s="59" t="inlineStr">
        <is>
          <t>Total infrastructure</t>
        </is>
      </c>
      <c r="B19" s="72">
        <f>SUM('Growth Model'!B27:S27)</f>
        <v/>
      </c>
    </row>
    <row r="20" ht="15" customHeight="1" s="44">
      <c r="A20" s="59" t="inlineStr">
        <is>
          <t>Total marketing</t>
        </is>
      </c>
      <c r="B20" s="72">
        <f>SUM('Growth Model'!B28:S28)</f>
        <v/>
      </c>
    </row>
    <row r="21" ht="15" customHeight="1" s="44">
      <c r="A21" s="59" t="inlineStr">
        <is>
          <t>Total B2B costs</t>
        </is>
      </c>
      <c r="B21" s="72">
        <f>SUM('Growth Model'!B29:S29)</f>
        <v/>
      </c>
    </row>
    <row r="22" ht="15" customHeight="1" s="44">
      <c r="A22" s="59" t="inlineStr">
        <is>
          <t>Total content costs</t>
        </is>
      </c>
      <c r="B22" s="72">
        <f>SUM('Growth Model'!B30:S30)</f>
        <v/>
      </c>
    </row>
    <row r="23" ht="15" customHeight="1" s="44">
      <c r="A23" s="59" t="inlineStr">
        <is>
          <t>Total expenses</t>
        </is>
      </c>
      <c r="B23" s="72">
        <f>SUM('Growth Model'!B31:S31)</f>
        <v/>
      </c>
    </row>
    <row r="24" ht="15" customHeight="1" s="44">
      <c r="A24" s="59" t="inlineStr">
        <is>
          <t>Net profit (18 months)</t>
        </is>
      </c>
      <c r="B24" s="82">
        <f>'Growth Model'!S35</f>
        <v/>
      </c>
    </row>
    <row r="25"/>
    <row r="26"/>
    <row r="27" ht="15" customHeight="1" s="44">
      <c r="A27" s="47" t="inlineStr">
        <is>
          <t>BUSINESS STRATEGY PHASES</t>
        </is>
      </c>
    </row>
    <row r="28" ht="15" customHeight="1" s="44">
      <c r="A28" s="61" t="inlineStr">
        <is>
          <t>M1-M2: Launch &amp; Build</t>
        </is>
      </c>
      <c r="B28" s="59" t="inlineStr">
        <is>
          <t>Free-only. Build user base, gather feedback, polish UX</t>
        </is>
      </c>
      <c r="C28" s="83" t="n"/>
      <c r="D28" s="83" t="n"/>
      <c r="E28" s="84" t="n"/>
    </row>
    <row r="29" ht="15" customHeight="1" s="44">
      <c r="A29" s="61" t="inlineStr">
        <is>
          <t>M3-M4: Monetize &amp; Market</t>
        </is>
      </c>
      <c r="B29" s="59" t="inlineStr">
        <is>
          <t>Enable payments, start ad spend, launch B2B outreach to CAs</t>
        </is>
      </c>
      <c r="C29" s="83" t="n"/>
      <c r="D29" s="83" t="n"/>
      <c r="E29" s="84" t="n"/>
    </row>
    <row r="30" ht="15" customHeight="1" s="44">
      <c r="A30" s="61" t="inlineStr">
        <is>
          <t>M5-M8: Growth Engine</t>
        </is>
      </c>
      <c r="B30" s="59" t="inlineStr">
        <is>
          <t>Scale both D2C and B2B channels, optimize conversion funnels</t>
        </is>
      </c>
      <c r="C30" s="83" t="n"/>
      <c r="D30" s="83" t="n"/>
      <c r="E30" s="84" t="n"/>
    </row>
    <row r="31" ht="15" customHeight="1" s="44">
      <c r="A31" s="61" t="inlineStr">
        <is>
          <t>M9-M12: Scale &amp; Optimize</t>
        </is>
      </c>
      <c r="B31" s="59" t="inlineStr">
        <is>
          <t>Reduce churn, increase ARPU, launch Family plan upsell</t>
        </is>
      </c>
      <c r="C31" s="83" t="n"/>
      <c r="D31" s="83" t="n"/>
      <c r="E31" s="84" t="n"/>
    </row>
    <row r="32" ht="15" customHeight="1" s="44">
      <c r="A32" s="61" t="inlineStr">
        <is>
          <t>M13-M15: Market Expansion</t>
        </is>
      </c>
      <c r="B32" s="59" t="inlineStr">
        <is>
          <t>NRI segment, regional languages, advanced features</t>
        </is>
      </c>
      <c r="C32" s="83" t="n"/>
      <c r="D32" s="83" t="n"/>
      <c r="E32" s="84" t="n"/>
    </row>
    <row r="33" ht="15" customHeight="1" s="44">
      <c r="A33" s="61" t="inlineStr">
        <is>
          <t>M18+: Profitability</t>
        </is>
      </c>
      <c r="B33" s="59" t="inlineStr">
        <is>
          <t>Target ₹1L+ monthly profit, consider seed round or stay bootstrapped</t>
        </is>
      </c>
      <c r="C33" s="83" t="n"/>
      <c r="D33" s="83" t="n"/>
      <c r="E33" s="84" t="n"/>
    </row>
  </sheetData>
  <mergeCells count="6">
    <mergeCell ref="B31:E31"/>
    <mergeCell ref="B30:E30"/>
    <mergeCell ref="B29:E29"/>
    <mergeCell ref="B33:E33"/>
    <mergeCell ref="B28:E28"/>
    <mergeCell ref="B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43" min="1" max="1"/>
    <col width="22" customWidth="1" style="43" min="2" max="4"/>
  </cols>
  <sheetData>
    <row r="1" ht="17.25" customHeight="1" s="44">
      <c r="A1" s="45" t="inlineStr">
        <is>
          <t>KutumbKosh — Scenario Analysis</t>
        </is>
      </c>
    </row>
    <row r="2"/>
    <row r="3" ht="15" customHeight="1" s="44">
      <c r="A3" s="56" t="n"/>
      <c r="B3" s="56" t="inlineStr">
        <is>
          <t>Conservative</t>
        </is>
      </c>
      <c r="C3" s="56" t="inlineStr">
        <is>
          <t>Base Case</t>
        </is>
      </c>
      <c r="D3" s="56" t="inlineStr">
        <is>
          <t>Optimistic</t>
        </is>
      </c>
    </row>
    <row r="4" ht="15" customHeight="1" s="44">
      <c r="A4" s="59" t="inlineStr">
        <is>
          <t>Annual price</t>
        </is>
      </c>
      <c r="B4" s="85" t="inlineStr">
        <is>
          <t>₹499</t>
        </is>
      </c>
      <c r="C4" s="85" t="inlineStr">
        <is>
          <t>₹499</t>
        </is>
      </c>
      <c r="D4" s="85" t="inlineStr">
        <is>
          <t>₹499 + Family ₹799</t>
        </is>
      </c>
    </row>
    <row r="5" ht="15" customHeight="1" s="44">
      <c r="A5" s="59" t="inlineStr">
        <is>
          <t>Launch signups</t>
        </is>
      </c>
      <c r="B5" s="85" t="inlineStr">
        <is>
          <t>250</t>
        </is>
      </c>
      <c r="C5" s="85" t="inlineStr">
        <is>
          <t>400</t>
        </is>
      </c>
      <c r="D5" s="85" t="inlineStr">
        <is>
          <t>600</t>
        </is>
      </c>
    </row>
    <row r="6" ht="15" customHeight="1" s="44">
      <c r="A6" s="59" t="inlineStr">
        <is>
          <t>Monthly growth rate</t>
        </is>
      </c>
      <c r="B6" s="85" t="inlineStr">
        <is>
          <t>12%</t>
        </is>
      </c>
      <c r="C6" s="85" t="inlineStr">
        <is>
          <t>20%</t>
        </is>
      </c>
      <c r="D6" s="85" t="inlineStr">
        <is>
          <t>28%</t>
        </is>
      </c>
    </row>
    <row r="7" ht="15" customHeight="1" s="44">
      <c r="A7" s="59" t="inlineStr">
        <is>
          <t>Churn rate</t>
        </is>
      </c>
      <c r="B7" s="85" t="inlineStr">
        <is>
          <t>5%</t>
        </is>
      </c>
      <c r="C7" s="85" t="inlineStr">
        <is>
          <t>3%</t>
        </is>
      </c>
      <c r="D7" s="85" t="inlineStr">
        <is>
          <t>2%</t>
        </is>
      </c>
    </row>
    <row r="8" ht="15" customHeight="1" s="44">
      <c r="A8" s="59" t="inlineStr">
        <is>
          <t>D2C conversion (initial)</t>
        </is>
      </c>
      <c r="B8" s="85" t="inlineStr">
        <is>
          <t>2%</t>
        </is>
      </c>
      <c r="C8" s="85" t="inlineStr">
        <is>
          <t>3%</t>
        </is>
      </c>
      <c r="D8" s="85" t="inlineStr">
        <is>
          <t>5%</t>
        </is>
      </c>
    </row>
    <row r="9" ht="15" customHeight="1" s="44">
      <c r="A9" s="59" t="inlineStr">
        <is>
          <t>B2B start month</t>
        </is>
      </c>
      <c r="B9" s="85" t="inlineStr">
        <is>
          <t>M6</t>
        </is>
      </c>
      <c r="C9" s="85" t="inlineStr">
        <is>
          <t>M4</t>
        </is>
      </c>
      <c r="D9" s="85" t="inlineStr">
        <is>
          <t>M3</t>
        </is>
      </c>
    </row>
    <row r="10" ht="15" customHeight="1" s="44">
      <c r="A10" s="59" t="inlineStr">
        <is>
          <t>B2B monthly users</t>
        </is>
      </c>
      <c r="B10" s="85" t="inlineStr">
        <is>
          <t>50</t>
        </is>
      </c>
      <c r="C10" s="85" t="inlineStr">
        <is>
          <t>100</t>
        </is>
      </c>
      <c r="D10" s="85" t="inlineStr">
        <is>
          <t>200</t>
        </is>
      </c>
    </row>
    <row r="11" ht="15" customHeight="1" s="44">
      <c r="A11" s="59" t="inlineStr">
        <is>
          <t>Marketing budget (max)</t>
        </is>
      </c>
      <c r="B11" s="85" t="inlineStr">
        <is>
          <t>₹15K/mo</t>
        </is>
      </c>
      <c r="C11" s="85" t="inlineStr">
        <is>
          <t>₹25K/mo</t>
        </is>
      </c>
      <c r="D11" s="85" t="inlineStr">
        <is>
          <t>₹40K/mo</t>
        </is>
      </c>
    </row>
    <row r="12" ht="15" customHeight="1" s="44">
      <c r="A12" s="59" t="n"/>
      <c r="B12" s="85" t="n"/>
      <c r="C12" s="85" t="n"/>
      <c r="D12" s="85" t="n"/>
    </row>
    <row r="13" ht="15" customHeight="1" s="44">
      <c r="A13" s="86" t="inlineStr">
        <is>
          <t>M18 total users</t>
        </is>
      </c>
      <c r="B13" s="87" t="inlineStr">
        <is>
          <t>~15,000</t>
        </is>
      </c>
      <c r="C13" s="87" t="inlineStr">
        <is>
          <t>~55,000</t>
        </is>
      </c>
      <c r="D13" s="87" t="inlineStr">
        <is>
          <t>~120,000</t>
        </is>
      </c>
    </row>
    <row r="14" ht="15" customHeight="1" s="44">
      <c r="A14" s="86" t="inlineStr">
        <is>
          <t>M18 Pro subscribers</t>
        </is>
      </c>
      <c r="B14" s="87" t="inlineStr">
        <is>
          <t>~500</t>
        </is>
      </c>
      <c r="C14" s="87" t="inlineStr">
        <is>
          <t>~4,500</t>
        </is>
      </c>
      <c r="D14" s="87" t="inlineStr">
        <is>
          <t>~12,000</t>
        </is>
      </c>
    </row>
    <row r="15" ht="15" customHeight="1" s="44">
      <c r="A15" s="86" t="inlineStr">
        <is>
          <t>M18 monthly net revenue</t>
        </is>
      </c>
      <c r="B15" s="87" t="inlineStr">
        <is>
          <t>~₹18K</t>
        </is>
      </c>
      <c r="C15" s="87" t="inlineStr">
        <is>
          <t>~₹1.5L</t>
        </is>
      </c>
      <c r="D15" s="87" t="inlineStr">
        <is>
          <t>~₹5L</t>
        </is>
      </c>
    </row>
    <row r="16" ht="15" customHeight="1" s="44">
      <c r="A16" s="86" t="inlineStr">
        <is>
          <t>18-month cumulative profit</t>
        </is>
      </c>
      <c r="B16" s="87" t="inlineStr">
        <is>
          <t>~₹50K</t>
        </is>
      </c>
      <c r="C16" s="87" t="inlineStr">
        <is>
          <t>~₹6-8L</t>
        </is>
      </c>
      <c r="D16" s="87" t="inlineStr">
        <is>
          <t>~₹25L+</t>
        </is>
      </c>
    </row>
    <row r="17" ht="15" customHeight="1" s="44">
      <c r="A17" s="86" t="inlineStr">
        <is>
          <t>Breakeven month</t>
        </is>
      </c>
      <c r="B17" s="87" t="inlineStr">
        <is>
          <t>M8-M10</t>
        </is>
      </c>
      <c r="C17" s="87" t="inlineStr">
        <is>
          <t>M4-M5</t>
        </is>
      </c>
      <c r="D17" s="87" t="inlineStr">
        <is>
          <t>M3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2026-04-03T06:19:12Z</dcterms:created>
  <dcterms:modified xmlns:dcterms="http://purl.org/dc/terms/" xmlns:xsi="http://www.w3.org/2001/XMLSchema-instance" xsi:type="dcterms:W3CDTF">2026-04-21T14:52:17Z</dcterms:modified>
  <cp:revision>0</cp:revision>
</cp:coreProperties>
</file>